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omonSE\CapstoneProjects\Template\"/>
    </mc:Choice>
  </mc:AlternateContent>
  <xr:revisionPtr revIDLastSave="0" documentId="13_ncr:1_{54B50338-A5B8-4662-BBF5-CEAE809D5F7B}" xr6:coauthVersionLast="41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Tasksheet" sheetId="1" r:id="rId1"/>
    <sheet name="Sample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" i="3" l="1"/>
  <c r="K27" i="3"/>
  <c r="F27" i="3"/>
  <c r="H46" i="3"/>
  <c r="G41" i="3"/>
  <c r="J41" i="3"/>
  <c r="I28" i="3"/>
  <c r="G14" i="3"/>
  <c r="J14" i="3"/>
  <c r="I11" i="3"/>
  <c r="G7" i="3"/>
  <c r="K7" i="3"/>
  <c r="H3" i="3"/>
  <c r="I41" i="3"/>
  <c r="H11" i="3"/>
  <c r="H27" i="3"/>
  <c r="F3" i="3"/>
  <c r="I46" i="3"/>
  <c r="K41" i="3"/>
  <c r="F41" i="3"/>
  <c r="J28" i="3"/>
  <c r="K14" i="3"/>
  <c r="F14" i="3"/>
  <c r="J11" i="3"/>
  <c r="H7" i="3"/>
  <c r="F7" i="3"/>
  <c r="I3" i="3"/>
  <c r="I27" i="3"/>
  <c r="G46" i="3"/>
  <c r="J46" i="3"/>
  <c r="J49" i="3" s="1"/>
  <c r="H41" i="3"/>
  <c r="G28" i="3"/>
  <c r="G49" i="3" s="1"/>
  <c r="K28" i="3"/>
  <c r="H14" i="3"/>
  <c r="G11" i="3"/>
  <c r="K11" i="3"/>
  <c r="I7" i="3"/>
  <c r="G3" i="3"/>
  <c r="J3" i="3"/>
  <c r="I49" i="3"/>
  <c r="H21" i="3"/>
  <c r="G27" i="3"/>
  <c r="J27" i="3"/>
  <c r="K46" i="3"/>
  <c r="K49" i="3" s="1"/>
  <c r="F46" i="3"/>
  <c r="H28" i="3"/>
  <c r="H49" i="3" s="1"/>
  <c r="H50" i="3" s="1"/>
  <c r="F28" i="3"/>
  <c r="F49" i="3" s="1"/>
  <c r="I14" i="3"/>
  <c r="I21" i="3" s="1"/>
  <c r="I50" i="3" s="1"/>
  <c r="F11" i="3"/>
  <c r="F21" i="3" s="1"/>
  <c r="F50" i="3" s="1"/>
  <c r="J7" i="3"/>
  <c r="J21" i="3" s="1"/>
  <c r="J50" i="3" s="1"/>
  <c r="K3" i="3"/>
  <c r="K21" i="3" s="1"/>
  <c r="K50" i="3"/>
  <c r="G21" i="3"/>
  <c r="G5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Kieu Trong Khanh</author>
  </authors>
  <commentList>
    <comment ref="F3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Tỷ lệ % đến từng thành viên
</t>
        </r>
      </text>
    </comment>
    <comment ref="G3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Tỷ lệ % đến từng thành viên
</t>
        </r>
      </text>
    </comment>
    <comment ref="C10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Chỉ mô tả các coreflow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Kieu Trong Khanh</author>
  </authors>
  <commentList>
    <comment ref="C28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Kieu Trong Khanh:</t>
        </r>
        <r>
          <rPr>
            <sz val="9"/>
            <color indexed="81"/>
            <rFont val="Tahoma"/>
            <charset val="1"/>
          </rPr>
          <t xml:space="preserve">
Chỉ mô tả các coreflow
</t>
        </r>
      </text>
    </comment>
  </commentList>
</comments>
</file>

<file path=xl/sharedStrings.xml><?xml version="1.0" encoding="utf-8"?>
<sst xmlns="http://schemas.openxmlformats.org/spreadsheetml/2006/main" count="126" uniqueCount="89">
  <si>
    <t>No.</t>
  </si>
  <si>
    <t>Product Deliverable</t>
  </si>
  <si>
    <t>Requirement</t>
  </si>
  <si>
    <t>Description</t>
  </si>
  <si>
    <t>Percentage</t>
  </si>
  <si>
    <t>Advisor Evaluate</t>
  </si>
  <si>
    <t>Reviewer Evaluate</t>
  </si>
  <si>
    <t>Requirements (30%)</t>
  </si>
  <si>
    <t>Requirement 1 .. N</t>
  </si>
  <si>
    <t>Requirements Definition in Detail</t>
  </si>
  <si>
    <t>Use-case Diagram</t>
  </si>
  <si>
    <t>Use-case Specification</t>
  </si>
  <si>
    <t>Design (30%)</t>
  </si>
  <si>
    <t>Class Diagram</t>
  </si>
  <si>
    <t>ERD</t>
  </si>
  <si>
    <t>Interactive Diagram</t>
  </si>
  <si>
    <t>UI, UX</t>
  </si>
  <si>
    <t>Implementation (40%)</t>
  </si>
  <si>
    <t>Functional, View 1 .. N</t>
  </si>
  <si>
    <t>Algorithms 1 .. N</t>
  </si>
  <si>
    <t>Apply Algorithms in functionality</t>
  </si>
  <si>
    <t>Total</t>
  </si>
  <si>
    <t>Mai VũCường</t>
  </si>
  <si>
    <t>Nguyễn Quốc Bảo</t>
  </si>
  <si>
    <t>Đặng Ngọc Trung</t>
  </si>
  <si>
    <t>O</t>
  </si>
  <si>
    <t>User Requirement</t>
  </si>
  <si>
    <t>Staff Requirement</t>
  </si>
  <si>
    <t>Manager Requirement</t>
  </si>
  <si>
    <t>Check-out using NFC device</t>
  </si>
  <si>
    <t>Get parking history</t>
  </si>
  <si>
    <t>Verify vehicle</t>
  </si>
  <si>
    <t>Request a refund for a order</t>
  </si>
  <si>
    <t>Approve refund request</t>
  </si>
  <si>
    <t>Web services</t>
  </si>
  <si>
    <t>Component Diagram</t>
  </si>
  <si>
    <t>User application</t>
  </si>
  <si>
    <t>Meter application</t>
  </si>
  <si>
    <t>Check user NFC device</t>
  </si>
  <si>
    <t>Verify user and vehicle</t>
  </si>
  <si>
    <t>Send request check-in</t>
  </si>
  <si>
    <t>Send request check-out</t>
  </si>
  <si>
    <t>NFC adapter for mobile</t>
  </si>
  <si>
    <t>View parking history</t>
  </si>
  <si>
    <t>Get location</t>
  </si>
  <si>
    <t>Manage location</t>
  </si>
  <si>
    <t>Manage policy</t>
  </si>
  <si>
    <t>Get policy</t>
  </si>
  <si>
    <t>Manage user</t>
  </si>
  <si>
    <t>Get user</t>
  </si>
  <si>
    <t>Get vehicle</t>
  </si>
  <si>
    <t>Manage vehicle</t>
  </si>
  <si>
    <t>Manage order</t>
  </si>
  <si>
    <t>Get order</t>
  </si>
  <si>
    <t>request refund</t>
  </si>
  <si>
    <t>User able to use their NFC device (NFC card or an android device with NFC support) to check-in</t>
  </si>
  <si>
    <t>User able to use their NFC device (NFC card or an android device with NFC support) to check-out</t>
  </si>
  <si>
    <t>The User can get previous parking history matched by their account and vehicle</t>
  </si>
  <si>
    <t>The Staff can verify vehicle that has just created in order for user to check-in, check-out</t>
  </si>
  <si>
    <t>If there was a mistake in the order caused by the system, the staff can make a request with valid description about the mistake to refund an amount of money to the user who made the parking transaction</t>
  </si>
  <si>
    <t>After the staff send a request refund. A Manager can view the detail of the request and the order that was requested and can approve the request</t>
  </si>
  <si>
    <t>Manage system</t>
  </si>
  <si>
    <t>The Staff can manage information with in the system including managing user, vehicle, location, policy.</t>
  </si>
  <si>
    <t>Check-in using NFC device</t>
  </si>
  <si>
    <t>U03-Check-in</t>
  </si>
  <si>
    <t>U04-Check-out</t>
  </si>
  <si>
    <t>U05-Get parking history</t>
  </si>
  <si>
    <t>S01-Look up parking order</t>
  </si>
  <si>
    <t>M01-Approve refund</t>
  </si>
  <si>
    <t>S03, S04, S06, S07, S08, S09, S011, S012 Management use-case specifications</t>
  </si>
  <si>
    <t>The Staff can look up a parking order and if that order has a mistake caused by the system which was reported by the user, the staff can request a refund for that order</t>
  </si>
  <si>
    <t xml:space="preserve">Get a user's information </t>
  </si>
  <si>
    <t>Include Create, Update user</t>
  </si>
  <si>
    <t>Get a vehicle information</t>
  </si>
  <si>
    <t>Get a location information</t>
  </si>
  <si>
    <t>Include Create, Update location</t>
  </si>
  <si>
    <t>Get a policy information</t>
  </si>
  <si>
    <t>Include Create, Update policy and copy policy from a location to another location</t>
  </si>
  <si>
    <t>Get information of a order</t>
  </si>
  <si>
    <t>Create a order, update order status</t>
  </si>
  <si>
    <t>Request a refund for a parking order</t>
  </si>
  <si>
    <t>Approve a request refund</t>
  </si>
  <si>
    <t>get data from the user NFC device (NFC card and android phone with NFC supported)</t>
  </si>
  <si>
    <t xml:space="preserve">Send request to create a parking order with status open </t>
  </si>
  <si>
    <t>Send request to update a parking order with status open. After complete the payment, change the order status to close</t>
  </si>
  <si>
    <t>Customize NFC adpater for mobile to act as a NFC card</t>
  </si>
  <si>
    <t>Get previous parking orders by the user and the vehicle own by the user</t>
  </si>
  <si>
    <t>Check if the user has enough money to check-in for a parking spot or the user's vehicle is allowed to park in that spot</t>
  </si>
  <si>
    <t>Include Create, Update vehicle, Verify vehicle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</si>
</sst>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Calibri"/>
      <family val="2"/>
      <scheme val="minor"/>
    </font>
    <font>
      <b/>
      <sz val="14"/>
      <color theme="0"/>
      <name val="Times New Roman"/>
      <family val="1"/>
    </font>
    <font>
      <sz val="11"/>
      <name val="ＭＳ Ｐゴシック"/>
      <family val="3"/>
      <charset val="128"/>
    </font>
    <font>
      <b/>
      <sz val="11"/>
      <color indexed="9"/>
      <name val="Times New Roman"/>
      <family val="1"/>
    </font>
    <font>
      <sz val="11"/>
      <color theme="1"/>
      <name val="Times New Roman"/>
      <family val="1"/>
    </font>
    <font>
      <b/>
      <sz val="12"/>
      <name val="Times New Roman"/>
      <family val="1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5">
    <xf numFmtId="0" fontId="0" fillId="0" borderId="0" xfId="0"/>
    <xf numFmtId="0" fontId="3" fillId="3" borderId="5" xfId="1" applyFont="1" applyFill="1" applyBorder="1" applyAlignment="1">
      <alignment vertical="top" textRotation="180"/>
    </xf>
    <xf numFmtId="0" fontId="4" fillId="0" borderId="4" xfId="0" applyFont="1" applyBorder="1" applyAlignment="1">
      <alignment horizontal="center" vertical="center" wrapText="1"/>
    </xf>
    <xf numFmtId="9" fontId="4" fillId="0" borderId="4" xfId="0" applyNumberFormat="1" applyFont="1" applyBorder="1"/>
    <xf numFmtId="0" fontId="5" fillId="0" borderId="4" xfId="1" applyFont="1" applyBorder="1" applyAlignment="1">
      <alignment horizontal="center"/>
    </xf>
    <xf numFmtId="0" fontId="4" fillId="0" borderId="5" xfId="0" applyFont="1" applyBorder="1" applyAlignment="1">
      <alignment horizontal="center" vertical="center" wrapText="1"/>
    </xf>
    <xf numFmtId="0" fontId="4" fillId="0" borderId="4" xfId="0" applyFont="1" applyBorder="1"/>
    <xf numFmtId="0" fontId="0" fillId="0" borderId="5" xfId="0" applyBorder="1"/>
    <xf numFmtId="0" fontId="0" fillId="0" borderId="4" xfId="0" applyBorder="1"/>
    <xf numFmtId="0" fontId="4" fillId="0" borderId="5" xfId="0" applyFont="1" applyBorder="1"/>
    <xf numFmtId="0" fontId="4" fillId="0" borderId="6" xfId="0" applyFont="1" applyBorder="1" applyAlignment="1">
      <alignment horizontal="center" vertical="center" wrapText="1"/>
    </xf>
    <xf numFmtId="9" fontId="4" fillId="0" borderId="6" xfId="0" applyNumberFormat="1" applyFont="1" applyBorder="1"/>
    <xf numFmtId="9" fontId="4" fillId="0" borderId="5" xfId="0" applyNumberFormat="1" applyFont="1" applyBorder="1"/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9" fontId="8" fillId="0" borderId="4" xfId="0" applyNumberFormat="1" applyFont="1" applyBorder="1" applyAlignment="1">
      <alignment vertical="center"/>
    </xf>
    <xf numFmtId="9" fontId="4" fillId="0" borderId="4" xfId="0" applyNumberFormat="1" applyFont="1" applyBorder="1" applyAlignment="1">
      <alignment vertical="center"/>
    </xf>
    <xf numFmtId="9" fontId="8" fillId="0" borderId="5" xfId="0" applyNumberFormat="1" applyFont="1" applyBorder="1" applyAlignment="1">
      <alignment vertical="center"/>
    </xf>
    <xf numFmtId="9" fontId="4" fillId="0" borderId="5" xfId="0" applyNumberFormat="1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8" fillId="0" borderId="4" xfId="0" applyFont="1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4" fillId="0" borderId="4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9" fontId="4" fillId="0" borderId="3" xfId="0" applyNumberFormat="1" applyFont="1" applyBorder="1" applyAlignment="1">
      <alignment vertical="center"/>
    </xf>
    <xf numFmtId="0" fontId="4" fillId="0" borderId="5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top" textRotation="180"/>
    </xf>
    <xf numFmtId="0" fontId="3" fillId="2" borderId="3" xfId="1" applyFont="1" applyFill="1" applyBorder="1" applyAlignment="1">
      <alignment horizontal="center" vertical="top" textRotation="180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</cellXfs>
  <cellStyles count="2">
    <cellStyle name="Normal" xfId="0" builtinId="0"/>
    <cellStyle name="Normal_Template_UnitTest Case_v0.9" xfId="1" xr:uid="{00000000-0005-0000-0000-000001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2"/>
  <sheetViews>
    <sheetView workbookViewId="0">
      <selection activeCell="H5" sqref="H5"/>
    </sheetView>
  </sheetViews>
  <sheetFormatPr defaultRowHeight="15"/>
  <cols>
    <col min="1" max="1" width="5.42578125" bestFit="1" customWidth="1"/>
    <col min="2" max="2" width="25" bestFit="1" customWidth="1"/>
    <col min="3" max="3" width="27.42578125" customWidth="1"/>
    <col min="4" max="4" width="30.140625" customWidth="1"/>
    <col min="5" max="5" width="29" customWidth="1"/>
    <col min="6" max="6" width="3.5703125" bestFit="1" customWidth="1"/>
    <col min="7" max="7" width="3.5703125" customWidth="1"/>
    <col min="8" max="8" width="3.5703125" bestFit="1" customWidth="1"/>
    <col min="9" max="9" width="3.5703125" customWidth="1"/>
    <col min="10" max="10" width="3.5703125" bestFit="1" customWidth="1"/>
    <col min="11" max="11" width="3.5703125" customWidth="1"/>
  </cols>
  <sheetData>
    <row r="1" spans="1:11" ht="117.75" customHeight="1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5" t="s">
        <v>22</v>
      </c>
      <c r="G1" s="36"/>
      <c r="H1" s="35" t="s">
        <v>23</v>
      </c>
      <c r="I1" s="36"/>
      <c r="J1" s="35" t="s">
        <v>24</v>
      </c>
      <c r="K1" s="36"/>
    </row>
    <row r="2" spans="1:11" ht="99.75">
      <c r="A2" s="34"/>
      <c r="B2" s="34"/>
      <c r="C2" s="34"/>
      <c r="D2" s="34"/>
      <c r="E2" s="34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</row>
    <row r="3" spans="1:11" ht="15.75">
      <c r="A3" s="2">
        <v>1</v>
      </c>
      <c r="B3" s="29" t="s">
        <v>7</v>
      </c>
      <c r="C3" s="2" t="s">
        <v>8</v>
      </c>
      <c r="D3" s="2" t="s">
        <v>9</v>
      </c>
      <c r="E3" s="3">
        <v>0.3</v>
      </c>
      <c r="F3" s="4"/>
      <c r="G3" s="4"/>
      <c r="H3" s="4"/>
      <c r="I3" s="4"/>
      <c r="J3" s="4"/>
      <c r="K3" s="4"/>
    </row>
    <row r="4" spans="1:11" ht="15.75">
      <c r="A4" s="2">
        <v>2</v>
      </c>
      <c r="B4" s="30"/>
      <c r="C4" s="5" t="s">
        <v>10</v>
      </c>
      <c r="D4" s="6"/>
      <c r="E4" s="3">
        <v>0.3</v>
      </c>
      <c r="F4" s="4"/>
      <c r="G4" s="4" t="s">
        <v>25</v>
      </c>
      <c r="H4" s="7"/>
      <c r="I4" s="8"/>
      <c r="J4" s="4"/>
      <c r="K4" s="4"/>
    </row>
    <row r="5" spans="1:11" ht="15.75">
      <c r="A5" s="2">
        <v>3</v>
      </c>
      <c r="B5" s="31"/>
      <c r="C5" s="5" t="s">
        <v>11</v>
      </c>
      <c r="D5" s="6"/>
      <c r="E5" s="3">
        <v>0.4</v>
      </c>
      <c r="F5" s="4"/>
      <c r="G5" s="4"/>
      <c r="H5" s="8"/>
      <c r="I5" s="8"/>
      <c r="J5" s="4"/>
      <c r="K5" s="4"/>
    </row>
    <row r="6" spans="1:11" ht="15.75">
      <c r="A6" s="2">
        <v>4</v>
      </c>
      <c r="B6" s="32" t="s">
        <v>12</v>
      </c>
      <c r="C6" s="5" t="s">
        <v>13</v>
      </c>
      <c r="D6" s="9"/>
      <c r="E6" s="3">
        <v>0.2</v>
      </c>
      <c r="F6" s="4"/>
      <c r="G6" s="4"/>
      <c r="H6" s="4"/>
      <c r="I6" s="4"/>
      <c r="J6" s="4"/>
      <c r="K6" s="4"/>
    </row>
    <row r="7" spans="1:11" ht="15.75">
      <c r="A7" s="2">
        <v>5</v>
      </c>
      <c r="B7" s="32"/>
      <c r="C7" s="5" t="s">
        <v>14</v>
      </c>
      <c r="D7" s="9"/>
      <c r="E7" s="3">
        <v>0.2</v>
      </c>
      <c r="F7" s="4"/>
      <c r="G7" s="4"/>
      <c r="H7" s="4"/>
      <c r="I7" s="4"/>
      <c r="J7" s="4"/>
      <c r="K7" s="4"/>
    </row>
    <row r="8" spans="1:11" ht="15.75">
      <c r="A8" s="2">
        <v>6</v>
      </c>
      <c r="B8" s="32"/>
      <c r="C8" s="5" t="s">
        <v>15</v>
      </c>
      <c r="D8" s="9"/>
      <c r="E8" s="3">
        <v>0.3</v>
      </c>
      <c r="F8" s="4"/>
      <c r="G8" s="4"/>
      <c r="H8" s="4"/>
      <c r="I8" s="4"/>
      <c r="J8" s="4"/>
      <c r="K8" s="4"/>
    </row>
    <row r="9" spans="1:11">
      <c r="A9" s="2">
        <v>7</v>
      </c>
      <c r="B9" s="32"/>
      <c r="C9" s="10" t="s">
        <v>16</v>
      </c>
      <c r="E9" s="11">
        <v>0.3</v>
      </c>
      <c r="F9" s="7"/>
      <c r="G9" s="7"/>
      <c r="H9" s="7"/>
      <c r="I9" s="7"/>
      <c r="J9" s="7"/>
      <c r="K9" s="7"/>
    </row>
    <row r="10" spans="1:11">
      <c r="A10" s="2">
        <v>8</v>
      </c>
      <c r="B10" s="28" t="s">
        <v>17</v>
      </c>
      <c r="C10" s="5" t="s">
        <v>18</v>
      </c>
      <c r="D10" s="7"/>
      <c r="E10" s="12">
        <v>0.7</v>
      </c>
      <c r="F10" s="7"/>
      <c r="G10" s="7"/>
      <c r="H10" s="7"/>
      <c r="I10" s="7"/>
      <c r="J10" s="7"/>
      <c r="K10" s="7"/>
    </row>
    <row r="11" spans="1:11">
      <c r="A11" s="2">
        <v>9</v>
      </c>
      <c r="B11" s="28"/>
      <c r="C11" s="5" t="s">
        <v>19</v>
      </c>
      <c r="D11" s="5" t="s">
        <v>20</v>
      </c>
      <c r="E11" s="12">
        <v>0.3</v>
      </c>
      <c r="F11" s="7"/>
      <c r="G11" s="7"/>
      <c r="H11" s="7"/>
      <c r="I11" s="7"/>
      <c r="J11" s="7"/>
      <c r="K11" s="7"/>
    </row>
    <row r="12" spans="1:11">
      <c r="A12" s="28" t="s">
        <v>21</v>
      </c>
      <c r="B12" s="28"/>
      <c r="C12" s="28"/>
      <c r="D12" s="28"/>
      <c r="E12" s="28"/>
      <c r="F12" s="7"/>
      <c r="G12" s="7"/>
      <c r="H12" s="7"/>
      <c r="I12" s="7"/>
      <c r="J12" s="7"/>
      <c r="K12" s="7"/>
    </row>
  </sheetData>
  <mergeCells count="12">
    <mergeCell ref="H1:I1"/>
    <mergeCell ref="J1:K1"/>
    <mergeCell ref="D1:D2"/>
    <mergeCell ref="E1:E2"/>
    <mergeCell ref="F1:G1"/>
    <mergeCell ref="B10:B11"/>
    <mergeCell ref="A12:E12"/>
    <mergeCell ref="B3:B5"/>
    <mergeCell ref="B6:B9"/>
    <mergeCell ref="A1:A2"/>
    <mergeCell ref="B1:B2"/>
    <mergeCell ref="C1:C2"/>
  </mergeCells>
  <dataValidations count="1">
    <dataValidation type="list" allowBlank="1" showInputMessage="1" showErrorMessage="1" sqref="F3:K3 J4:K5 F4:G5 F6:K8" xr:uid="{00000000-0002-0000-0000-000000000000}">
      <formula1>"O, 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0"/>
  <sheetViews>
    <sheetView tabSelected="1" topLeftCell="A43" workbookViewId="0">
      <selection activeCell="F50" sqref="F50"/>
    </sheetView>
  </sheetViews>
  <sheetFormatPr defaultRowHeight="15"/>
  <cols>
    <col min="1" max="1" width="5.42578125" bestFit="1" customWidth="1"/>
    <col min="2" max="2" width="25" bestFit="1" customWidth="1"/>
    <col min="3" max="3" width="27.42578125" customWidth="1"/>
    <col min="4" max="4" width="30.140625" customWidth="1"/>
    <col min="5" max="5" width="29" customWidth="1"/>
    <col min="6" max="11" width="10.140625" bestFit="1" customWidth="1"/>
  </cols>
  <sheetData>
    <row r="1" spans="1:14" ht="117.75" customHeight="1">
      <c r="A1" s="33" t="s">
        <v>0</v>
      </c>
      <c r="B1" s="33" t="s">
        <v>1</v>
      </c>
      <c r="C1" s="33" t="s">
        <v>2</v>
      </c>
      <c r="D1" s="33" t="s">
        <v>3</v>
      </c>
      <c r="E1" s="33" t="s">
        <v>4</v>
      </c>
      <c r="F1" s="35" t="s">
        <v>22</v>
      </c>
      <c r="G1" s="36"/>
      <c r="H1" s="35" t="s">
        <v>23</v>
      </c>
      <c r="I1" s="36"/>
      <c r="J1" s="35" t="s">
        <v>24</v>
      </c>
      <c r="K1" s="36"/>
    </row>
    <row r="2" spans="1:14" ht="99.75">
      <c r="A2" s="34"/>
      <c r="B2" s="34"/>
      <c r="C2" s="34"/>
      <c r="D2" s="34"/>
      <c r="E2" s="34"/>
      <c r="F2" s="1" t="s">
        <v>5</v>
      </c>
      <c r="G2" s="1" t="s">
        <v>6</v>
      </c>
      <c r="H2" s="1" t="s">
        <v>5</v>
      </c>
      <c r="I2" s="1" t="s">
        <v>6</v>
      </c>
      <c r="J2" s="1" t="s">
        <v>5</v>
      </c>
      <c r="K2" s="1" t="s">
        <v>6</v>
      </c>
    </row>
    <row r="3" spans="1:14">
      <c r="A3" s="2">
        <v>1</v>
      </c>
      <c r="B3" s="29" t="s">
        <v>7</v>
      </c>
      <c r="C3" s="13" t="s">
        <v>26</v>
      </c>
      <c r="D3" s="13"/>
      <c r="E3" s="16">
        <v>0.3</v>
      </c>
      <c r="F3" s="22">
        <f>calculateMark(5,F4:F6)</f>
        <v>10</v>
      </c>
      <c r="G3" s="22" t="str">
        <f t="shared" ref="G3:K3" si="0">calculateMark(5,G4:G6)</f>
        <v/>
      </c>
      <c r="H3" s="22" t="str">
        <f t="shared" si="0"/>
        <v/>
      </c>
      <c r="I3" s="22" t="str">
        <f t="shared" si="0"/>
        <v/>
      </c>
      <c r="J3" s="22">
        <f t="shared" si="0"/>
        <v>5</v>
      </c>
      <c r="K3" s="22" t="str">
        <f t="shared" si="0"/>
        <v/>
      </c>
    </row>
    <row r="4" spans="1:14" ht="60">
      <c r="A4" s="2">
        <v>2</v>
      </c>
      <c r="B4" s="30"/>
      <c r="C4" s="2" t="s">
        <v>63</v>
      </c>
      <c r="D4" s="2" t="s">
        <v>55</v>
      </c>
      <c r="E4" s="17">
        <v>0.12</v>
      </c>
      <c r="F4" s="24">
        <v>10</v>
      </c>
      <c r="G4" s="23"/>
      <c r="H4" s="23"/>
      <c r="I4" s="23"/>
      <c r="J4" s="23"/>
      <c r="K4" s="23"/>
    </row>
    <row r="5" spans="1:14" ht="60">
      <c r="A5" s="2">
        <v>3</v>
      </c>
      <c r="B5" s="30"/>
      <c r="C5" s="2" t="s">
        <v>29</v>
      </c>
      <c r="D5" s="2" t="s">
        <v>56</v>
      </c>
      <c r="E5" s="17">
        <v>0.1</v>
      </c>
      <c r="F5" s="24">
        <v>10</v>
      </c>
      <c r="G5" s="23"/>
      <c r="H5" s="23"/>
      <c r="I5" s="23"/>
      <c r="J5" s="24">
        <v>5</v>
      </c>
      <c r="K5" s="23"/>
      <c r="N5">
        <f>(10*12%+10*10%+10*8%)/30%</f>
        <v>10</v>
      </c>
    </row>
    <row r="6" spans="1:14" ht="45">
      <c r="A6" s="2">
        <v>7</v>
      </c>
      <c r="B6" s="30"/>
      <c r="C6" s="2" t="s">
        <v>30</v>
      </c>
      <c r="D6" s="2" t="s">
        <v>57</v>
      </c>
      <c r="E6" s="17">
        <v>0.08</v>
      </c>
      <c r="F6" s="23">
        <v>10</v>
      </c>
      <c r="G6" s="23"/>
      <c r="H6" s="23"/>
      <c r="I6" s="23"/>
      <c r="J6" s="24">
        <v>5</v>
      </c>
      <c r="K6" s="23"/>
    </row>
    <row r="7" spans="1:14">
      <c r="A7" s="2">
        <v>8</v>
      </c>
      <c r="B7" s="30"/>
      <c r="C7" s="13" t="s">
        <v>27</v>
      </c>
      <c r="D7" s="13"/>
      <c r="E7" s="16">
        <v>0.3</v>
      </c>
      <c r="F7" s="22">
        <f>calculateMark(5,F8:F10)</f>
        <v>5</v>
      </c>
      <c r="G7" s="22" t="str">
        <f t="shared" ref="G7:K7" si="1">calculateMark(5,G8:G10)</f>
        <v/>
      </c>
      <c r="H7" s="22">
        <f t="shared" si="1"/>
        <v>10</v>
      </c>
      <c r="I7" s="22" t="str">
        <f t="shared" si="1"/>
        <v/>
      </c>
      <c r="J7" s="22" t="str">
        <f t="shared" si="1"/>
        <v/>
      </c>
      <c r="K7" s="22" t="str">
        <f t="shared" si="1"/>
        <v/>
      </c>
    </row>
    <row r="8" spans="1:14" ht="45">
      <c r="A8" s="2">
        <v>11</v>
      </c>
      <c r="B8" s="30"/>
      <c r="C8" s="2" t="s">
        <v>31</v>
      </c>
      <c r="D8" s="2" t="s">
        <v>58</v>
      </c>
      <c r="E8" s="17">
        <v>0.05</v>
      </c>
      <c r="F8" s="24">
        <v>5</v>
      </c>
      <c r="G8" s="23"/>
      <c r="H8" s="24">
        <v>10</v>
      </c>
      <c r="I8" s="23"/>
      <c r="J8" s="23"/>
      <c r="K8" s="23"/>
    </row>
    <row r="9" spans="1:14" ht="105">
      <c r="A9" s="2">
        <v>12</v>
      </c>
      <c r="B9" s="30"/>
      <c r="C9" s="15" t="s">
        <v>32</v>
      </c>
      <c r="D9" s="2" t="s">
        <v>59</v>
      </c>
      <c r="E9" s="17">
        <v>0.12</v>
      </c>
      <c r="F9" s="24"/>
      <c r="G9" s="23"/>
      <c r="H9" s="24">
        <v>10</v>
      </c>
      <c r="I9" s="23"/>
      <c r="J9" s="23"/>
      <c r="K9" s="23"/>
    </row>
    <row r="10" spans="1:14" ht="60">
      <c r="A10" s="2"/>
      <c r="B10" s="30"/>
      <c r="C10" s="15" t="s">
        <v>61</v>
      </c>
      <c r="D10" s="2" t="s">
        <v>62</v>
      </c>
      <c r="E10" s="17">
        <v>0.13</v>
      </c>
      <c r="F10" s="23"/>
      <c r="G10" s="23"/>
      <c r="H10" s="24">
        <v>10</v>
      </c>
      <c r="I10" s="23"/>
      <c r="J10" s="23"/>
      <c r="K10" s="23"/>
    </row>
    <row r="11" spans="1:14">
      <c r="A11" s="2">
        <v>18</v>
      </c>
      <c r="B11" s="30"/>
      <c r="C11" s="14" t="s">
        <v>28</v>
      </c>
      <c r="D11" s="2"/>
      <c r="E11" s="16">
        <v>0.2</v>
      </c>
      <c r="F11" s="22" t="str">
        <f>calculateMark(5,F12)</f>
        <v/>
      </c>
      <c r="G11" s="22" t="str">
        <f t="shared" ref="G11:K11" si="2">calculateMark(5,G12)</f>
        <v/>
      </c>
      <c r="H11" s="22">
        <f t="shared" si="2"/>
        <v>7</v>
      </c>
      <c r="I11" s="22" t="str">
        <f t="shared" si="2"/>
        <v/>
      </c>
      <c r="J11" s="22" t="str">
        <f t="shared" si="2"/>
        <v/>
      </c>
      <c r="K11" s="22" t="str">
        <f t="shared" si="2"/>
        <v/>
      </c>
    </row>
    <row r="12" spans="1:14" ht="75">
      <c r="A12" s="2">
        <v>19</v>
      </c>
      <c r="B12" s="30"/>
      <c r="C12" s="2" t="s">
        <v>33</v>
      </c>
      <c r="D12" s="2" t="s">
        <v>60</v>
      </c>
      <c r="E12" s="17">
        <v>0.2</v>
      </c>
      <c r="F12" s="25"/>
      <c r="G12" s="25"/>
      <c r="H12" s="24">
        <v>7</v>
      </c>
      <c r="I12" s="25"/>
      <c r="J12" s="25"/>
      <c r="K12" s="25"/>
    </row>
    <row r="13" spans="1:14">
      <c r="A13" s="2">
        <v>20</v>
      </c>
      <c r="B13" s="30"/>
      <c r="C13" s="14" t="s">
        <v>10</v>
      </c>
      <c r="D13" s="6"/>
      <c r="E13" s="16">
        <v>0.1</v>
      </c>
      <c r="F13" s="24">
        <v>8</v>
      </c>
      <c r="G13" s="25"/>
      <c r="H13" s="25"/>
      <c r="I13" s="25"/>
      <c r="J13" s="25"/>
      <c r="K13" s="25"/>
    </row>
    <row r="14" spans="1:14">
      <c r="A14" s="2"/>
      <c r="B14" s="30"/>
      <c r="C14" s="14" t="s">
        <v>11</v>
      </c>
      <c r="D14" s="6"/>
      <c r="E14" s="16">
        <v>0.1</v>
      </c>
      <c r="F14" s="22" t="str">
        <f>calculateMark(5,F15:F20)</f>
        <v/>
      </c>
      <c r="G14" s="22" t="str">
        <f t="shared" ref="G14:K14" si="3">calculateMark(5,G15:G20)</f>
        <v/>
      </c>
      <c r="H14" s="22">
        <f t="shared" si="3"/>
        <v>7</v>
      </c>
      <c r="I14" s="22" t="str">
        <f t="shared" si="3"/>
        <v/>
      </c>
      <c r="J14" s="22" t="str">
        <f t="shared" si="3"/>
        <v/>
      </c>
      <c r="K14" s="22" t="str">
        <f t="shared" si="3"/>
        <v/>
      </c>
    </row>
    <row r="15" spans="1:14" ht="60">
      <c r="A15" s="2"/>
      <c r="B15" s="30"/>
      <c r="C15" s="20" t="s">
        <v>64</v>
      </c>
      <c r="D15" s="2" t="s">
        <v>55</v>
      </c>
      <c r="E15" s="17">
        <v>0.02</v>
      </c>
      <c r="F15" s="25"/>
      <c r="G15" s="25"/>
      <c r="H15" s="24">
        <v>7</v>
      </c>
      <c r="I15" s="25"/>
      <c r="J15" s="25"/>
      <c r="K15" s="25"/>
    </row>
    <row r="16" spans="1:14" ht="60">
      <c r="A16" s="2"/>
      <c r="B16" s="30"/>
      <c r="C16" s="20" t="s">
        <v>65</v>
      </c>
      <c r="D16" s="2" t="s">
        <v>56</v>
      </c>
      <c r="E16" s="17">
        <v>0.02</v>
      </c>
      <c r="F16" s="25"/>
      <c r="G16" s="25"/>
      <c r="H16" s="24">
        <v>7</v>
      </c>
      <c r="I16" s="25"/>
      <c r="J16" s="25"/>
      <c r="K16" s="25"/>
    </row>
    <row r="17" spans="1:11" ht="45">
      <c r="A17" s="2"/>
      <c r="B17" s="30"/>
      <c r="C17" s="20" t="s">
        <v>66</v>
      </c>
      <c r="D17" s="2" t="s">
        <v>57</v>
      </c>
      <c r="E17" s="17">
        <v>5.0000000000000001E-3</v>
      </c>
      <c r="F17" s="25"/>
      <c r="G17" s="25"/>
      <c r="H17" s="24">
        <v>7</v>
      </c>
      <c r="I17" s="25"/>
      <c r="J17" s="25"/>
      <c r="K17" s="25"/>
    </row>
    <row r="18" spans="1:11" ht="90">
      <c r="A18" s="2"/>
      <c r="B18" s="30"/>
      <c r="C18" s="20" t="s">
        <v>67</v>
      </c>
      <c r="D18" s="2" t="s">
        <v>70</v>
      </c>
      <c r="E18" s="17">
        <v>0.02</v>
      </c>
      <c r="F18" s="25"/>
      <c r="G18" s="25"/>
      <c r="H18" s="24">
        <v>7</v>
      </c>
      <c r="I18" s="25"/>
      <c r="J18" s="25"/>
      <c r="K18" s="25"/>
    </row>
    <row r="19" spans="1:11" ht="60">
      <c r="A19" s="2"/>
      <c r="B19" s="30"/>
      <c r="C19" s="5" t="s">
        <v>69</v>
      </c>
      <c r="D19" s="2" t="s">
        <v>62</v>
      </c>
      <c r="E19" s="17">
        <v>0.02</v>
      </c>
      <c r="F19" s="25"/>
      <c r="G19" s="25"/>
      <c r="H19" s="24">
        <v>7</v>
      </c>
      <c r="I19" s="25"/>
      <c r="J19" s="25"/>
      <c r="K19" s="25"/>
    </row>
    <row r="20" spans="1:11" ht="75">
      <c r="A20" s="2"/>
      <c r="B20" s="30"/>
      <c r="C20" s="20" t="s">
        <v>68</v>
      </c>
      <c r="D20" s="2" t="s">
        <v>60</v>
      </c>
      <c r="E20" s="17">
        <v>0.01</v>
      </c>
      <c r="F20" s="25"/>
      <c r="G20" s="25"/>
      <c r="H20" s="24">
        <v>7</v>
      </c>
      <c r="I20" s="25"/>
      <c r="J20" s="25"/>
      <c r="K20" s="25"/>
    </row>
    <row r="21" spans="1:11">
      <c r="A21" s="2"/>
      <c r="B21" s="31"/>
      <c r="C21" s="37" t="s">
        <v>21</v>
      </c>
      <c r="D21" s="38"/>
      <c r="E21" s="27">
        <v>0.3</v>
      </c>
      <c r="F21" s="25">
        <f>calculateComponent(5,F3,F7,F11,F13:F14)</f>
        <v>7.5714285714285721</v>
      </c>
      <c r="G21" s="25" t="str">
        <f t="shared" ref="G21:K21" si="4">calculateComponent(5,G3,G7,G11,G13:G14)</f>
        <v/>
      </c>
      <c r="H21" s="25">
        <f t="shared" si="4"/>
        <v>8.5000000000000018</v>
      </c>
      <c r="I21" s="25" t="str">
        <f t="shared" si="4"/>
        <v/>
      </c>
      <c r="J21" s="25">
        <f t="shared" si="4"/>
        <v>5</v>
      </c>
      <c r="K21" s="25" t="str">
        <f t="shared" si="4"/>
        <v/>
      </c>
    </row>
    <row r="22" spans="1:11">
      <c r="A22" s="2">
        <v>22</v>
      </c>
      <c r="B22" s="29" t="s">
        <v>12</v>
      </c>
      <c r="C22" s="13" t="s">
        <v>13</v>
      </c>
      <c r="D22" s="6"/>
      <c r="E22" s="16">
        <v>0.2</v>
      </c>
      <c r="F22" s="25"/>
      <c r="G22" s="25"/>
      <c r="H22" s="25"/>
      <c r="I22" s="25"/>
      <c r="J22" s="24">
        <v>6</v>
      </c>
      <c r="K22" s="25"/>
    </row>
    <row r="23" spans="1:11">
      <c r="A23" s="2">
        <v>23</v>
      </c>
      <c r="B23" s="30"/>
      <c r="C23" s="14" t="s">
        <v>35</v>
      </c>
      <c r="D23" s="9"/>
      <c r="E23" s="16">
        <v>0.1</v>
      </c>
      <c r="F23" s="24">
        <v>7</v>
      </c>
      <c r="G23" s="25"/>
      <c r="H23" s="25"/>
      <c r="I23" s="25"/>
      <c r="J23" s="24">
        <v>6</v>
      </c>
      <c r="K23" s="25"/>
    </row>
    <row r="24" spans="1:11">
      <c r="A24" s="2">
        <v>24</v>
      </c>
      <c r="B24" s="30"/>
      <c r="C24" s="14" t="s">
        <v>14</v>
      </c>
      <c r="D24" s="9"/>
      <c r="E24" s="16">
        <v>0.2</v>
      </c>
      <c r="F24" s="25"/>
      <c r="G24" s="25"/>
      <c r="H24" s="25"/>
      <c r="I24" s="25"/>
      <c r="J24" s="24">
        <v>6</v>
      </c>
      <c r="K24" s="25"/>
    </row>
    <row r="25" spans="1:11">
      <c r="A25" s="2">
        <v>25</v>
      </c>
      <c r="B25" s="30"/>
      <c r="C25" s="14" t="s">
        <v>15</v>
      </c>
      <c r="D25" s="9"/>
      <c r="E25" s="16">
        <v>0.3</v>
      </c>
      <c r="F25" s="25">
        <v>5</v>
      </c>
      <c r="G25" s="25"/>
      <c r="H25" s="25"/>
      <c r="I25" s="25"/>
      <c r="J25" s="24">
        <v>6</v>
      </c>
      <c r="K25" s="25"/>
    </row>
    <row r="26" spans="1:11">
      <c r="A26" s="2">
        <v>26</v>
      </c>
      <c r="B26" s="30"/>
      <c r="C26" s="14" t="s">
        <v>16</v>
      </c>
      <c r="D26" s="7"/>
      <c r="E26" s="18">
        <v>0.2</v>
      </c>
      <c r="F26" s="25"/>
      <c r="G26" s="25"/>
      <c r="H26" s="25">
        <v>6</v>
      </c>
      <c r="I26" s="25"/>
      <c r="J26" s="25">
        <v>6</v>
      </c>
      <c r="K26" s="25"/>
    </row>
    <row r="27" spans="1:11">
      <c r="A27" s="2"/>
      <c r="B27" s="31"/>
      <c r="C27" s="39" t="s">
        <v>21</v>
      </c>
      <c r="D27" s="39"/>
      <c r="E27" s="18">
        <v>0.3</v>
      </c>
      <c r="F27" s="25">
        <f>calculateComponent(5,F22:F26)</f>
        <v>5.5</v>
      </c>
      <c r="G27" s="25" t="str">
        <f t="shared" ref="G27:K27" si="5">calculateComponent(5,G22:G26)</f>
        <v/>
      </c>
      <c r="H27" s="25">
        <f t="shared" si="5"/>
        <v>6.0000000000000009</v>
      </c>
      <c r="I27" s="25" t="str">
        <f t="shared" si="5"/>
        <v/>
      </c>
      <c r="J27" s="25">
        <f t="shared" si="5"/>
        <v>6.0000000000000009</v>
      </c>
      <c r="K27" s="25" t="str">
        <f t="shared" si="5"/>
        <v/>
      </c>
    </row>
    <row r="28" spans="1:11">
      <c r="A28" s="2">
        <v>27</v>
      </c>
      <c r="B28" s="40" t="s">
        <v>17</v>
      </c>
      <c r="C28" s="14" t="s">
        <v>34</v>
      </c>
      <c r="D28" s="7"/>
      <c r="E28" s="18">
        <v>0.6</v>
      </c>
      <c r="F28" s="25" t="str">
        <f>calculateMark(5,F29:F40)</f>
        <v/>
      </c>
      <c r="G28" s="25" t="str">
        <f t="shared" ref="G28:K28" si="6">calculateMark(5,G29:G40)</f>
        <v/>
      </c>
      <c r="H28" s="25">
        <f t="shared" si="6"/>
        <v>5.9999999999999982</v>
      </c>
      <c r="I28" s="25" t="str">
        <f t="shared" si="6"/>
        <v/>
      </c>
      <c r="J28" s="25" t="str">
        <f t="shared" si="6"/>
        <v/>
      </c>
      <c r="K28" s="25" t="str">
        <f t="shared" si="6"/>
        <v/>
      </c>
    </row>
    <row r="29" spans="1:11">
      <c r="A29" s="2">
        <v>28</v>
      </c>
      <c r="B29" s="41"/>
      <c r="C29" s="5" t="s">
        <v>49</v>
      </c>
      <c r="D29" s="5" t="s">
        <v>71</v>
      </c>
      <c r="E29" s="19">
        <v>0.06</v>
      </c>
      <c r="F29" s="25"/>
      <c r="G29" s="25"/>
      <c r="H29" s="24">
        <v>6</v>
      </c>
      <c r="I29" s="25"/>
      <c r="J29" s="25"/>
      <c r="K29" s="25"/>
    </row>
    <row r="30" spans="1:11">
      <c r="A30" s="2">
        <v>29</v>
      </c>
      <c r="B30" s="41"/>
      <c r="C30" s="5" t="s">
        <v>48</v>
      </c>
      <c r="D30" s="5" t="s">
        <v>72</v>
      </c>
      <c r="E30" s="19">
        <v>0.06</v>
      </c>
      <c r="F30" s="25"/>
      <c r="G30" s="25"/>
      <c r="H30" s="24">
        <v>6</v>
      </c>
      <c r="I30" s="25"/>
      <c r="J30" s="25"/>
      <c r="K30" s="25"/>
    </row>
    <row r="31" spans="1:11">
      <c r="A31" s="2">
        <v>30</v>
      </c>
      <c r="B31" s="41"/>
      <c r="C31" s="5" t="s">
        <v>50</v>
      </c>
      <c r="D31" s="5" t="s">
        <v>73</v>
      </c>
      <c r="E31" s="19">
        <v>0.06</v>
      </c>
      <c r="F31" s="25"/>
      <c r="G31" s="25"/>
      <c r="H31" s="24">
        <v>6</v>
      </c>
      <c r="I31" s="25"/>
      <c r="J31" s="25"/>
      <c r="K31" s="25"/>
    </row>
    <row r="32" spans="1:11" ht="30">
      <c r="A32" s="2">
        <v>31</v>
      </c>
      <c r="B32" s="41"/>
      <c r="C32" s="5" t="s">
        <v>51</v>
      </c>
      <c r="D32" s="5" t="s">
        <v>88</v>
      </c>
      <c r="E32" s="19">
        <v>0.06</v>
      </c>
      <c r="F32" s="25"/>
      <c r="G32" s="25"/>
      <c r="H32" s="24">
        <v>6</v>
      </c>
      <c r="I32" s="25"/>
      <c r="J32" s="25"/>
      <c r="K32" s="25"/>
    </row>
    <row r="33" spans="1:11">
      <c r="A33" s="2">
        <v>32</v>
      </c>
      <c r="B33" s="41"/>
      <c r="C33" s="5" t="s">
        <v>44</v>
      </c>
      <c r="D33" s="5" t="s">
        <v>74</v>
      </c>
      <c r="E33" s="19">
        <v>0.06</v>
      </c>
      <c r="F33" s="25"/>
      <c r="G33" s="25"/>
      <c r="H33" s="24">
        <v>6</v>
      </c>
      <c r="I33" s="25"/>
      <c r="J33" s="25"/>
      <c r="K33" s="25"/>
    </row>
    <row r="34" spans="1:11">
      <c r="A34" s="2">
        <v>33</v>
      </c>
      <c r="B34" s="41"/>
      <c r="C34" s="5" t="s">
        <v>45</v>
      </c>
      <c r="D34" s="5" t="s">
        <v>75</v>
      </c>
      <c r="E34" s="19">
        <v>0.06</v>
      </c>
      <c r="F34" s="25"/>
      <c r="G34" s="25"/>
      <c r="H34" s="24">
        <v>6</v>
      </c>
      <c r="I34" s="25"/>
      <c r="J34" s="25"/>
      <c r="K34" s="25"/>
    </row>
    <row r="35" spans="1:11">
      <c r="A35" s="2">
        <v>34</v>
      </c>
      <c r="B35" s="41"/>
      <c r="C35" s="5" t="s">
        <v>47</v>
      </c>
      <c r="D35" s="5" t="s">
        <v>76</v>
      </c>
      <c r="E35" s="19">
        <v>0.06</v>
      </c>
      <c r="F35" s="25"/>
      <c r="G35" s="25"/>
      <c r="H35" s="24">
        <v>6</v>
      </c>
      <c r="I35" s="25"/>
      <c r="J35" s="25"/>
      <c r="K35" s="25"/>
    </row>
    <row r="36" spans="1:11" ht="45">
      <c r="A36" s="2">
        <v>35</v>
      </c>
      <c r="B36" s="41"/>
      <c r="C36" s="5" t="s">
        <v>46</v>
      </c>
      <c r="D36" s="5" t="s">
        <v>77</v>
      </c>
      <c r="E36" s="19">
        <v>0.06</v>
      </c>
      <c r="F36" s="25"/>
      <c r="G36" s="25"/>
      <c r="H36" s="24">
        <v>6</v>
      </c>
      <c r="I36" s="25"/>
      <c r="J36" s="25"/>
      <c r="K36" s="25"/>
    </row>
    <row r="37" spans="1:11">
      <c r="A37" s="2">
        <v>36</v>
      </c>
      <c r="B37" s="41"/>
      <c r="C37" s="5" t="s">
        <v>53</v>
      </c>
      <c r="D37" s="5" t="s">
        <v>78</v>
      </c>
      <c r="E37" s="19">
        <v>0.02</v>
      </c>
      <c r="F37" s="25"/>
      <c r="G37" s="25"/>
      <c r="H37" s="24">
        <v>6</v>
      </c>
      <c r="I37" s="25"/>
      <c r="J37" s="25"/>
      <c r="K37" s="25"/>
    </row>
    <row r="38" spans="1:11" ht="30">
      <c r="A38" s="2">
        <v>37</v>
      </c>
      <c r="B38" s="41"/>
      <c r="C38" s="5" t="s">
        <v>52</v>
      </c>
      <c r="D38" s="5" t="s">
        <v>79</v>
      </c>
      <c r="E38" s="19">
        <v>0.06</v>
      </c>
      <c r="F38" s="25"/>
      <c r="G38" s="25"/>
      <c r="H38" s="24">
        <v>6</v>
      </c>
      <c r="I38" s="25"/>
      <c r="J38" s="25"/>
      <c r="K38" s="25"/>
    </row>
    <row r="39" spans="1:11" ht="30">
      <c r="A39" s="2">
        <v>38</v>
      </c>
      <c r="B39" s="41"/>
      <c r="C39" s="5" t="s">
        <v>54</v>
      </c>
      <c r="D39" s="5" t="s">
        <v>80</v>
      </c>
      <c r="E39" s="19">
        <v>0.02</v>
      </c>
      <c r="F39" s="25"/>
      <c r="G39" s="25"/>
      <c r="H39" s="24">
        <v>6</v>
      </c>
      <c r="I39" s="25"/>
      <c r="J39" s="25"/>
      <c r="K39" s="25"/>
    </row>
    <row r="40" spans="1:11">
      <c r="A40" s="2">
        <v>39</v>
      </c>
      <c r="B40" s="41"/>
      <c r="C40" s="5" t="s">
        <v>33</v>
      </c>
      <c r="D40" s="5" t="s">
        <v>81</v>
      </c>
      <c r="E40" s="19">
        <v>0.02</v>
      </c>
      <c r="F40" s="25"/>
      <c r="G40" s="25"/>
      <c r="H40" s="24">
        <v>6</v>
      </c>
      <c r="I40" s="25"/>
      <c r="J40" s="25"/>
      <c r="K40" s="25"/>
    </row>
    <row r="41" spans="1:11">
      <c r="A41" s="2">
        <v>40</v>
      </c>
      <c r="B41" s="41"/>
      <c r="C41" s="14" t="s">
        <v>37</v>
      </c>
      <c r="D41" s="5"/>
      <c r="E41" s="18">
        <v>0.2</v>
      </c>
      <c r="F41" s="24">
        <f>calculateMark(5,F42:F45)</f>
        <v>8</v>
      </c>
      <c r="G41" s="24" t="str">
        <f t="shared" ref="G41:K41" si="7">calculateMark(5,G42:G45)</f>
        <v/>
      </c>
      <c r="H41" s="24" t="str">
        <f t="shared" si="7"/>
        <v/>
      </c>
      <c r="I41" s="24" t="str">
        <f t="shared" si="7"/>
        <v/>
      </c>
      <c r="J41" s="24" t="str">
        <f t="shared" si="7"/>
        <v/>
      </c>
      <c r="K41" s="24" t="str">
        <f t="shared" si="7"/>
        <v/>
      </c>
    </row>
    <row r="42" spans="1:11" ht="45">
      <c r="A42" s="2">
        <v>41</v>
      </c>
      <c r="B42" s="41"/>
      <c r="C42" s="5" t="s">
        <v>38</v>
      </c>
      <c r="D42" s="5" t="s">
        <v>82</v>
      </c>
      <c r="E42" s="19">
        <v>0.05</v>
      </c>
      <c r="F42" s="24">
        <v>8</v>
      </c>
      <c r="G42" s="25"/>
      <c r="H42" s="25"/>
      <c r="I42" s="25"/>
      <c r="J42" s="25"/>
      <c r="K42" s="25"/>
    </row>
    <row r="43" spans="1:11" ht="60">
      <c r="A43" s="2">
        <v>42</v>
      </c>
      <c r="B43" s="41"/>
      <c r="C43" s="5" t="s">
        <v>39</v>
      </c>
      <c r="D43" s="5" t="s">
        <v>87</v>
      </c>
      <c r="E43" s="19">
        <v>0.05</v>
      </c>
      <c r="F43" s="24">
        <v>8</v>
      </c>
      <c r="G43" s="25"/>
      <c r="H43" s="25"/>
      <c r="I43" s="25"/>
      <c r="J43" s="25"/>
      <c r="K43" s="25"/>
    </row>
    <row r="44" spans="1:11" ht="30">
      <c r="A44" s="2">
        <v>43</v>
      </c>
      <c r="B44" s="41"/>
      <c r="C44" s="5" t="s">
        <v>40</v>
      </c>
      <c r="D44" s="5" t="s">
        <v>83</v>
      </c>
      <c r="E44" s="19">
        <v>0.05</v>
      </c>
      <c r="F44" s="24">
        <v>8</v>
      </c>
      <c r="G44" s="25"/>
      <c r="H44" s="25"/>
      <c r="I44" s="25"/>
      <c r="J44" s="25"/>
      <c r="K44" s="25"/>
    </row>
    <row r="45" spans="1:11" ht="60">
      <c r="A45" s="2">
        <v>44</v>
      </c>
      <c r="B45" s="41"/>
      <c r="C45" s="5" t="s">
        <v>41</v>
      </c>
      <c r="D45" s="5" t="s">
        <v>84</v>
      </c>
      <c r="E45" s="19">
        <v>0.05</v>
      </c>
      <c r="F45" s="24">
        <v>8</v>
      </c>
      <c r="G45" s="25"/>
      <c r="H45" s="25"/>
      <c r="I45" s="25"/>
      <c r="J45" s="25"/>
      <c r="K45" s="25"/>
    </row>
    <row r="46" spans="1:11">
      <c r="A46" s="2">
        <v>45</v>
      </c>
      <c r="B46" s="41"/>
      <c r="C46" s="14" t="s">
        <v>36</v>
      </c>
      <c r="D46" s="5"/>
      <c r="E46" s="18">
        <v>0.2</v>
      </c>
      <c r="F46" s="26">
        <f>calculateMark(5,F47:F48)</f>
        <v>8</v>
      </c>
      <c r="G46" s="26" t="str">
        <f t="shared" ref="G46:K46" si="8">calculateMark(5,G47:G48)</f>
        <v/>
      </c>
      <c r="H46" s="26" t="str">
        <f t="shared" si="8"/>
        <v/>
      </c>
      <c r="I46" s="26" t="str">
        <f t="shared" si="8"/>
        <v/>
      </c>
      <c r="J46" s="26">
        <f t="shared" si="8"/>
        <v>6.0000000000000009</v>
      </c>
      <c r="K46" s="26" t="str">
        <f t="shared" si="8"/>
        <v/>
      </c>
    </row>
    <row r="47" spans="1:11" ht="30">
      <c r="A47" s="2">
        <v>46</v>
      </c>
      <c r="B47" s="41"/>
      <c r="C47" s="5" t="s">
        <v>42</v>
      </c>
      <c r="D47" s="5" t="s">
        <v>85</v>
      </c>
      <c r="E47" s="19">
        <v>0.1</v>
      </c>
      <c r="F47" s="24">
        <v>8</v>
      </c>
      <c r="G47" s="25"/>
      <c r="H47" s="25"/>
      <c r="I47" s="25"/>
      <c r="J47" s="25"/>
      <c r="K47" s="25"/>
    </row>
    <row r="48" spans="1:11" ht="45">
      <c r="A48" s="2">
        <v>47</v>
      </c>
      <c r="B48" s="41"/>
      <c r="C48" s="5" t="s">
        <v>43</v>
      </c>
      <c r="D48" s="5" t="s">
        <v>86</v>
      </c>
      <c r="E48" s="19">
        <v>0.1</v>
      </c>
      <c r="F48" s="25"/>
      <c r="G48" s="25"/>
      <c r="H48" s="25"/>
      <c r="I48" s="25"/>
      <c r="J48" s="24">
        <v>6</v>
      </c>
      <c r="K48" s="25"/>
    </row>
    <row r="49" spans="1:11">
      <c r="A49" s="2"/>
      <c r="B49" s="42"/>
      <c r="C49" s="43" t="s">
        <v>21</v>
      </c>
      <c r="D49" s="44"/>
      <c r="E49" s="19">
        <v>0.4</v>
      </c>
      <c r="F49" s="25">
        <f>calculateComponent(5,F28,F41,F46)</f>
        <v>8</v>
      </c>
      <c r="G49" s="25" t="str">
        <f t="shared" ref="G49:K49" si="9">calculateComponent(5,G28,G41,G46)</f>
        <v/>
      </c>
      <c r="H49" s="25">
        <f t="shared" si="9"/>
        <v>5.9999999999999982</v>
      </c>
      <c r="I49" s="25" t="str">
        <f t="shared" si="9"/>
        <v/>
      </c>
      <c r="J49" s="25">
        <f t="shared" si="9"/>
        <v>6.0000000000000009</v>
      </c>
      <c r="K49" s="25" t="str">
        <f t="shared" si="9"/>
        <v/>
      </c>
    </row>
    <row r="50" spans="1:11">
      <c r="A50" s="28" t="s">
        <v>21</v>
      </c>
      <c r="B50" s="28"/>
      <c r="C50" s="28"/>
      <c r="D50" s="28"/>
      <c r="E50" s="28"/>
      <c r="F50" s="21">
        <f>calTotal(5,F21,F27,F49)</f>
        <v>7.1214285714285719</v>
      </c>
      <c r="G50" s="21">
        <f t="shared" ref="G50:K50" si="10">calTotal(5,G21,G27,G49)</f>
        <v>0</v>
      </c>
      <c r="H50" s="21">
        <f t="shared" si="10"/>
        <v>6.75</v>
      </c>
      <c r="I50" s="21">
        <f t="shared" si="10"/>
        <v>0</v>
      </c>
      <c r="J50" s="21">
        <f t="shared" si="10"/>
        <v>5.7000000000000011</v>
      </c>
      <c r="K50" s="21">
        <f t="shared" si="10"/>
        <v>0</v>
      </c>
    </row>
  </sheetData>
  <mergeCells count="15">
    <mergeCell ref="H1:I1"/>
    <mergeCell ref="J1:K1"/>
    <mergeCell ref="F1:G1"/>
    <mergeCell ref="A50:E50"/>
    <mergeCell ref="A1:A2"/>
    <mergeCell ref="B1:B2"/>
    <mergeCell ref="C1:C2"/>
    <mergeCell ref="D1:D2"/>
    <mergeCell ref="E1:E2"/>
    <mergeCell ref="B3:B21"/>
    <mergeCell ref="C21:D21"/>
    <mergeCell ref="B22:B27"/>
    <mergeCell ref="C27:D27"/>
    <mergeCell ref="B28:B49"/>
    <mergeCell ref="C49:D49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Tasksheet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Kieu Trong Khanh</dc:creator>
  <cp:lastModifiedBy>Kieu Trong Khanh</cp:lastModifiedBy>
  <dcterms:created xsi:type="dcterms:W3CDTF">2018-11-18T21:10:51Z</dcterms:created>
  <dcterms:modified xsi:type="dcterms:W3CDTF">2019-04-05T22:43:55Z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a2fc2f02-1f05-4111-82fa-2c7ef73d4053</vt:lpwstr>
  </property>
</Properties>
</file>